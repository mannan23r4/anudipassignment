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F577AA82-89CF-094E-8067-29BDD7DFFAE0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4" i="4"/>
  <c r="C3" i="4"/>
  <c r="C5" i="4"/>
  <c r="C2" i="4"/>
  <c r="B3" i="4"/>
  <c r="B4" i="4"/>
  <c r="B5" i="4"/>
  <c r="B6" i="4"/>
  <c r="B7" i="4"/>
  <c r="B2" i="4"/>
  <c r="A2" i="4" a="1"/>
  <c r="A2" i="4" s="1"/>
  <c r="B2" i="3"/>
  <c r="G2" i="2"/>
  <c r="E2" i="2"/>
  <c r="G3" i="2"/>
  <c r="G4" i="2"/>
  <c r="G5" i="2"/>
  <c r="G6" i="2"/>
  <c r="G7" i="2"/>
  <c r="E4" i="2"/>
  <c r="E5" i="2"/>
  <c r="E6" i="2"/>
  <c r="E7" i="2"/>
  <c r="F6" i="2"/>
  <c r="H3" i="2"/>
  <c r="H4" i="2"/>
  <c r="H5" i="2"/>
  <c r="H6" i="2"/>
  <c r="H7" i="2"/>
  <c r="H2" i="2"/>
  <c r="F3" i="2"/>
  <c r="F4" i="2"/>
  <c r="F5" i="2"/>
  <c r="F7" i="2"/>
  <c r="E3" i="2"/>
  <c r="F2" i="2"/>
  <c r="D7" i="2"/>
  <c r="D6" i="2"/>
  <c r="D3" i="2"/>
  <c r="D4" i="2"/>
  <c r="D5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<sst xmlns="http://schemas.openxmlformats.org/spreadsheetml/2006/main" count="36" uniqueCount="34">
  <si>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</si>
  <si>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</si>
  <si>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</si>
  <si>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</si>
  <si>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</si>
  <si>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</si>
  <si>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</si>
  <si>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</si>
  <si>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</si>
  <si>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</si>
  <si>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</si>
  <si>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</si>
  <si>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</si>
  <si>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</si>
  <si>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</si>
  <si>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</si>
  <si>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</si>
  <si>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</si>
  <si>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</si>
  <si>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</si>
  <si>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</si>
  <si>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</si>
  <si>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</si>
  <si>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Coloumn cell * Coloumn cell and enter</t>
  </si>
  <si>
    <t>IF(ISNA(VLOOKUP(B2,Products!$A$2:$C$7,1,FALSE)),"Not Found","Exists")</t>
  </si>
  <si>
    <t>E2-(E2-10%)/ E2*90%</t>
  </si>
  <si>
    <t>TASK</t>
  </si>
  <si>
    <t xml:space="preserve">Maximum order value </t>
  </si>
  <si>
    <t>RESULT</t>
  </si>
  <si>
    <t>MAX(Orders!F2:F7)</t>
  </si>
  <si>
    <t>Product not ordered</t>
  </si>
  <si>
    <t>None, All products have been ordered</t>
  </si>
  <si>
    <t>ProductId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</si>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</sst>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200" workbookViewId="0">
      <selection activeCell="B9" sqref="B9"/>
    </sheetView>
  </sheetViews>
  <sheetFormatPr baseColWidth="10" defaultColWidth="8.83203125" defaultRowHeight="15" x14ac:dyDescent="0.2"/>
  <cols>
    <col min="1" max="2" width="14" customWidth="1"/>
    <col min="3" max="3" width="10" customWidth="1"/>
    <col min="4" max="4" width="16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101</v>
      </c>
      <c r="B2" t="s">
        <v>3</v>
      </c>
      <c r="C2">
        <v>120</v>
      </c>
    </row>
    <row r="3" spans="1:3" x14ac:dyDescent="0.2">
      <c r="A3">
        <v>102</v>
      </c>
      <c r="B3" t="s">
        <v>4</v>
      </c>
      <c r="C3">
        <v>150</v>
      </c>
    </row>
    <row r="4" spans="1:3" x14ac:dyDescent="0.2">
      <c r="A4">
        <v>103</v>
      </c>
      <c r="B4" t="s">
        <v>5</v>
      </c>
      <c r="C4">
        <v>200</v>
      </c>
    </row>
    <row r="5" spans="1:3" x14ac:dyDescent="0.2">
      <c r="A5">
        <v>104</v>
      </c>
      <c r="B5" t="s">
        <v>6</v>
      </c>
      <c r="C5">
        <v>90</v>
      </c>
    </row>
    <row r="6" spans="1:3" x14ac:dyDescent="0.2">
      <c r="A6">
        <v>105</v>
      </c>
      <c r="B6" t="s">
        <v>7</v>
      </c>
      <c r="C6">
        <v>220</v>
      </c>
    </row>
    <row r="7" spans="1:3" x14ac:dyDescent="0.2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200" workbookViewId="0">
      <selection activeCell="C2" sqref="C2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2" t="s">
        <v>15</v>
      </c>
    </row>
    <row r="2" spans="1:8" x14ac:dyDescent="0.2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VLOOKUP(Orders!B2,Products!A2:C7,3,FALSE)</f>
        <v>120</v>
      </c>
      <c r="F2">
        <f>C2*E2</f>
        <v>240</v>
      </c>
      <c r="G2">
        <f>E2-(E2*10%)</f>
        <v>108</v>
      </c>
      <c r="H2" s="3" t="str">
        <f>IF(ISNA(VLOOKUP(B2,Products!$A$2:$C$7,1,FALSE)),"Not Found","Exists")</f>
        <v>Exists</v>
      </c>
    </row>
    <row r="3" spans="1:8" x14ac:dyDescent="0.2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VLOOKUP(Orders!B3,Products!A3:C8,3,FALSE)</f>
        <v>200</v>
      </c>
      <c r="F3">
        <f t="shared" ref="F3:F7" si="0">C3*E3</f>
        <v>200</v>
      </c>
      <c r="G3">
        <f t="shared" ref="G3:G7" si="1">E3-(E3*10%)</f>
        <v>180</v>
      </c>
      <c r="H3" s="3" t="str">
        <f>IF(ISNA(VLOOKUP(B3,Products!$A$2:$C$7,1,FALSE)),"Not Found","Exists")</f>
        <v>Exists</v>
      </c>
    </row>
    <row r="4" spans="1:8" x14ac:dyDescent="0.2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VLOOKUP(Orders!B4,Products!A4:C9,3,FALSE)</f>
        <v>220</v>
      </c>
      <c r="F4">
        <f t="shared" si="0"/>
        <v>880</v>
      </c>
      <c r="G4">
        <f t="shared" si="1"/>
        <v>198</v>
      </c>
      <c r="H4" s="3" t="str">
        <f>IF(ISNA(VLOOKUP(B4,Products!$A$2:$C$7,1,FALSE)),"Not Found","Exists")</f>
        <v>Exists</v>
      </c>
    </row>
    <row r="5" spans="1:8" x14ac:dyDescent="0.2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VLOOKUP(Orders!B5,Products!A5:C10,3,FALSE)</f>
        <v>130</v>
      </c>
      <c r="F5">
        <f t="shared" si="0"/>
        <v>390</v>
      </c>
      <c r="G5">
        <f t="shared" si="1"/>
        <v>117</v>
      </c>
      <c r="H5" s="3" t="str">
        <f>IF(ISNA(VLOOKUP(B5,Products!$A$2:$C$7,1,FALSE)),"Not Found","Exists")</f>
        <v>Exists</v>
      </c>
    </row>
    <row r="6" spans="1:8" x14ac:dyDescent="0.2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VLOOKUP(B6,Products!A2:C7,3,FALSE)</f>
        <v>150</v>
      </c>
      <c r="F6">
        <f t="shared" si="0"/>
        <v>750</v>
      </c>
      <c r="G6">
        <f t="shared" si="1"/>
        <v>135</v>
      </c>
      <c r="H6" s="3" t="str">
        <f>IF(ISNA(VLOOKUP(B6,Products!$A$2:$C$7,1,FALSE)),"Not Found","Exists")</f>
        <v>Exists</v>
      </c>
    </row>
    <row r="7" spans="1:8" x14ac:dyDescent="0.2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VLOOKUP(B7,Products!A2:C7,3,FALSE)</f>
        <v>90</v>
      </c>
      <c r="F7">
        <f t="shared" si="0"/>
        <v>540</v>
      </c>
      <c r="G7">
        <f t="shared" si="1"/>
        <v>81</v>
      </c>
      <c r="H7" s="3" t="str">
        <f>IF(ISNA(VLOOKUP(B7,Products!$A$2:$C$7,1,FALSE)),"Not Found","Exists")</f>
        <v>Exists</v>
      </c>
    </row>
    <row r="10" spans="1:8" x14ac:dyDescent="0.2">
      <c r="A10" t="s">
        <v>16</v>
      </c>
    </row>
    <row r="11" spans="1:8" x14ac:dyDescent="0.2">
      <c r="A11" t="s">
        <v>17</v>
      </c>
      <c r="F11" t="s">
        <v>23</v>
      </c>
    </row>
    <row r="12" spans="1:8" x14ac:dyDescent="0.2">
      <c r="A12" t="s">
        <v>18</v>
      </c>
      <c r="E12" t="s">
        <v>24</v>
      </c>
    </row>
    <row r="13" spans="1:8" x14ac:dyDescent="0.2">
      <c r="A13" t="s">
        <v>19</v>
      </c>
      <c r="F13" t="s">
        <v>25</v>
      </c>
    </row>
    <row r="14" spans="1:8" x14ac:dyDescent="0.2">
      <c r="A14" t="s">
        <v>20</v>
      </c>
      <c r="F14" t="s">
        <v>29</v>
      </c>
    </row>
    <row r="15" spans="1:8" x14ac:dyDescent="0.2">
      <c r="A15" t="s">
        <v>21</v>
      </c>
    </row>
    <row r="16" spans="1:8" x14ac:dyDescent="0.2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="187" workbookViewId="0">
      <selection activeCell="B3" sqref="B3"/>
    </sheetView>
  </sheetViews>
  <sheetFormatPr baseColWidth="10" defaultColWidth="8.83203125" defaultRowHeight="15" x14ac:dyDescent="0.2"/>
  <cols>
    <col min="1" max="1" width="19" customWidth="1"/>
    <col min="2" max="2" width="35.6640625" customWidth="1"/>
  </cols>
  <sheetData>
    <row r="1" spans="1:2" x14ac:dyDescent="0.2">
      <c r="A1" s="2" t="s">
        <v>26</v>
      </c>
      <c r="B1" s="2" t="s">
        <v>28</v>
      </c>
    </row>
    <row r="2" spans="1:2" x14ac:dyDescent="0.2">
      <c r="A2" t="s">
        <v>27</v>
      </c>
      <c r="B2">
        <f>MAX(Orders!F2:F7)</f>
        <v>880</v>
      </c>
    </row>
    <row r="3" spans="1:2" x14ac:dyDescent="0.2">
      <c r="A3" t="s">
        <v>30</v>
      </c>
      <c r="B3" t="s">
        <v>31</v>
      </c>
    </row>
    <row r="4" spans="1:2" x14ac:dyDescent="0.2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zoomScale="185" workbookViewId="0">
      <selection activeCell="C8" sqref="C8"/>
    </sheetView>
  </sheetViews>
  <sheetFormatPr baseColWidth="10" defaultColWidth="8.83203125" defaultRowHeight="15" x14ac:dyDescent="0.2"/>
  <cols>
    <col min="1" max="2" width="17" customWidth="1"/>
    <col min="3" max="3" width="37" customWidth="1"/>
  </cols>
  <sheetData>
    <row r="1" spans="1:3" x14ac:dyDescent="0.2">
      <c r="A1" s="2" t="s">
        <v>32</v>
      </c>
      <c r="B1" s="2" t="s">
        <v>11</v>
      </c>
      <c r="C1" s="2" t="s">
        <v>33</v>
      </c>
    </row>
    <row r="2" spans="1:3" x14ac:dyDescent="0.2">
      <c r="A2" cm="1">
        <f t="array" ref="A2:A7">Products!A2:A7</f>
        <v>101</v>
      </c>
      <c r="B2" t="str">
        <f>VLOOKUP(A2,Products!A2:C7,2,FALSE)</f>
        <v>Product A</v>
      </c>
      <c r="C2">
        <f>SUMIF(Orders!B2:B7,A2,Orders!C2:C7)</f>
        <v>2</v>
      </c>
    </row>
    <row r="3" spans="1:3" x14ac:dyDescent="0.2">
      <c r="A3">
        <v>102</v>
      </c>
      <c r="B3" t="str">
        <f>VLOOKUP(A3,Products!A3:C8,2,FALSE)</f>
        <v>Product B</v>
      </c>
      <c r="C3">
        <f>SUMIF(Orders!B3:B8,A3,Orders!C3:C8)</f>
        <v>5</v>
      </c>
    </row>
    <row r="4" spans="1:3" x14ac:dyDescent="0.2">
      <c r="A4">
        <v>103</v>
      </c>
      <c r="B4" t="str">
        <f>VLOOKUP(A4,Products!A4:C9,2,FALSE)</f>
        <v>Product C</v>
      </c>
      <c r="C4">
        <f>SUMIF(Orders!B2:B7,A4,Orders!C2:C7)</f>
        <v>1</v>
      </c>
    </row>
    <row r="5" spans="1:3" x14ac:dyDescent="0.2">
      <c r="A5">
        <v>104</v>
      </c>
      <c r="B5" t="str">
        <f>VLOOKUP(A5,Products!A5:C10,2,FALSE)</f>
        <v>Product D</v>
      </c>
      <c r="C5">
        <f>SUMIF(Orders!B5:B10,A5,Orders!C5:C10)</f>
        <v>6</v>
      </c>
    </row>
    <row r="6" spans="1:3" x14ac:dyDescent="0.2">
      <c r="A6">
        <v>105</v>
      </c>
      <c r="B6" t="str">
        <f>VLOOKUP(A6,Products!A6:C11,2,FALSE)</f>
        <v>Product E</v>
      </c>
      <c r="C6">
        <f>SUMIF(Orders!B2:B7,A6,Orders!C2:C7)</f>
        <v>4</v>
      </c>
    </row>
    <row r="7" spans="1:3" x14ac:dyDescent="0.2">
      <c r="A7">
        <v>106</v>
      </c>
      <c r="B7" t="str">
        <f>VLOOKUP(A7,Products!A7:C12,2,FALSE)</f>
        <v>Product F</v>
      </c>
      <c r="C7">
        <f>SUMIF(Orders!B2:B7,A7,Orders!C2:C7)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2026-05-18T03:48:30Z</dcterms:created>
  <dcterms:modified xsi:type="dcterms:W3CDTF">2026-05-18T07:05:10Z</dcterms:modified>
</cp:coreProperties>
</file>