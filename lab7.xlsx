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FB22E42A-0593-AB4A-927E-411DAF1384A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G3" i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M3" i="1"/>
  <c r="M4" i="1"/>
  <c r="M5" i="1"/>
  <c r="M6" i="1"/>
  <c r="M7" i="1"/>
  <c r="M2" i="1"/>
  <c r="L4" i="1"/>
  <c r="L5" i="1"/>
  <c r="L6" i="1"/>
  <c r="L7" i="1"/>
  <c r="L3" i="1"/>
  <c r="L2" i="1"/>
  <c r="K3" i="1"/>
  <c r="K4" i="1"/>
  <c r="K5" i="1"/>
  <c r="K6" i="1"/>
  <c r="K7" i="1"/>
  <c r="K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<sst xmlns="http://schemas.openxmlformats.org/spreadsheetml/2006/main" count="33" uniqueCount="31">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</sst>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91C59-8FEE-CB45-A13A-C6AA69A77274}" name="Table1" displayName="Table1" ref="A1:M7" totalsRowShown="0" headerRowDxfId="0" dataDxfId="1">
  <autoFilter ref="A1:M7" xr:uid="{6D491C59-8FEE-CB45-A13A-C6AA69A77274}"/>
  <tableColumns count="13">
    <tableColumn id="1" xr3:uid="{F34D224D-B21A-2447-BDD0-6E88E57B665E}" name="ProductID" dataDxfId="14"/>
    <tableColumn id="2" xr3:uid="{D0434582-B952-BB48-BC24-9B8289A5FAF2}" name="Product" dataDxfId="13"/>
    <tableColumn id="3" xr3:uid="{721E78FC-7B59-DC4D-B072-A7949583A796}" name="Sales" dataDxfId="12"/>
    <tableColumn id="4" xr3:uid="{A87EDA85-E9B6-0F4E-8C53-E138534DF191}" name="Target" dataDxfId="11"/>
    <tableColumn id="5" xr3:uid="{381814F6-40D3-D043-A314-150BFE588F74}" name="Region" dataDxfId="10"/>
    <tableColumn id="6" xr3:uid="{1E8E257C-3BC8-1944-8150-D50E6A4737EC}" name="Target Met?" dataDxfId="9">
      <calculatedColumnFormula>IF(C2&gt;=D2,"Yes","No")</calculatedColumnFormula>
    </tableColumn>
    <tableColumn id="7" xr3:uid="{C8B5BA01-38DB-ED47-B492-1AF4423BF829}" name="Regional Bonus Eligible?" dataDxfId="8">
      <calculatedColumnFormula>IF(AND(E2="North",C2&gt;200),"Eligible","Not Eligible")</calculatedColumnFormula>
    </tableColumn>
    <tableColumn id="8" xr3:uid="{B0BD7CD4-6512-B44E-8585-10A48BAAA654}" name="Commission Rate" dataDxfId="7">
      <calculatedColumnFormula>IF(C2&gt;=200,0.1,IF(C2&gt;=150,0.07,0.05))</calculatedColumnFormula>
    </tableColumn>
    <tableColumn id="9" xr3:uid="{DD1F9E6E-A78C-1142-916F-6E7ED095BF31}" name="Bonus Amount" dataDxfId="6">
      <calculatedColumnFormula>IF(C2&gt;=D2,C2*10%,C2*5%)</calculatedColumnFormula>
    </tableColumn>
    <tableColumn id="10" xr3:uid="{7585056B-467A-8244-864D-69326CBFB35E}" name="Performance" dataDxfId="5">
      <calculatedColumnFormula>IF(C2&gt;=200,"Excellent", IF(C2&gt;=150, "Good", "Need Improvement"))</calculatedColumnFormula>
    </tableColumn>
    <tableColumn id="11" xr3:uid="{BCC4AB35-9975-4D41-8BC2-65FE7F8357D0}" name="Price Tier" dataDxfId="4">
      <calculatedColumnFormula>IF(C2&gt;200,"High", IF(AND(C2&gt;=100,C2&lt;=200),"Medium","Low"))</calculatedColumnFormula>
    </tableColumn>
    <tableColumn id="12" xr3:uid="{D19AFFB8-9DE1-E64F-9531-DAAED01C2909}" name="Year-End Bonus" dataDxfId="3">
      <calculatedColumnFormula>IF(AND(C2&gt;=150,E2="North"),"$500","$300")</calculatedColumnFormula>
    </tableColumn>
    <tableColumn id="13" xr3:uid="{E4856FAF-C970-9842-8CE6-997046FCBCA4}" name="High Performer?" dataDxfId="2">
      <calculatedColumnFormula>IF(C2&gt;=PERCENTILE($C$2:$C$7,0.75),"Yes","No")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118" workbookViewId="0">
      <selection activeCell="F10" sqref="F10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4" width="10" customWidth="1"/>
    <col min="5" max="5" width="12" customWidth="1"/>
    <col min="6" max="6" width="18.33203125" customWidth="1"/>
    <col min="7" max="7" width="25" customWidth="1"/>
    <col min="8" max="8" width="18" customWidth="1"/>
    <col min="9" max="9" width="15" customWidth="1"/>
    <col min="10" max="10" width="15.5" customWidth="1"/>
    <col min="11" max="11" width="27.6640625" customWidth="1"/>
    <col min="12" max="12" width="15.6640625" customWidth="1"/>
    <col min="13" max="13" width="15" customWidth="1"/>
  </cols>
  <sheetData>
    <row r="1" spans="1:13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">
      <c r="A2" s="6">
        <v>101</v>
      </c>
      <c r="B2" s="6" t="s">
        <v>13</v>
      </c>
      <c r="C2" s="6">
        <v>120</v>
      </c>
      <c r="D2" s="6">
        <v>150</v>
      </c>
      <c r="E2" s="6" t="s">
        <v>14</v>
      </c>
      <c r="F2" s="6" t="str">
        <f>IF(C2&gt;=D2,"Yes","No")</f>
        <v>No</v>
      </c>
      <c r="G2" s="6" t="str">
        <f>IF(AND(E2="North",C2&gt;200),"Eligible","Not Eligible")</f>
        <v>Not Eligible</v>
      </c>
      <c r="H2" s="6">
        <f>IF(C2&gt;=200,10%,IF(C2&gt;=150,7%,5%))</f>
        <v>0.05</v>
      </c>
      <c r="I2" s="6">
        <f>IF(C2&gt;=D2,C2*10%,C2*5%)</f>
        <v>6</v>
      </c>
      <c r="J2" s="6" t="str">
        <f>IF(C2&gt;=200,"Excellent",IF(C2&gt;150,"Good","Need Improvement"))</f>
        <v>Need Improvement</v>
      </c>
      <c r="K2" s="6" t="str">
        <f>IF(C2&gt;200,"High", IF(AND(C2&gt;=100,C2&lt;=200),"Medium","Low"))</f>
        <v>Medium</v>
      </c>
      <c r="L2" s="6" t="str">
        <f>IF(AND(C2&gt;=150,E2="North"),"$500","$300")</f>
        <v>$300</v>
      </c>
      <c r="M2" s="6" t="str">
        <f>IF(C2&gt;=PERCENTILE($C$2:$C$7,0.75),"Yes","No")</f>
        <v>No</v>
      </c>
    </row>
    <row r="3" spans="1:13" x14ac:dyDescent="0.2">
      <c r="A3" s="6">
        <v>102</v>
      </c>
      <c r="B3" s="6" t="s">
        <v>15</v>
      </c>
      <c r="C3" s="6">
        <v>150</v>
      </c>
      <c r="D3" s="6">
        <v>140</v>
      </c>
      <c r="E3" s="6" t="s">
        <v>16</v>
      </c>
      <c r="F3" s="6" t="str">
        <f>IF(C3&gt;=D3,"Yes","No")</f>
        <v>Yes</v>
      </c>
      <c r="G3" s="6" t="str">
        <f>IF(AND(E2="North",C3&gt;200),"Eligible","Not Eligible")</f>
        <v>Not Eligible</v>
      </c>
      <c r="H3" s="6">
        <f>IF(C3&gt;=200,10%,IF(C3&gt;=150,7%,5%))</f>
        <v>7.0000000000000007E-2</v>
      </c>
      <c r="I3" s="6">
        <f>IF(C3&gt;=D3,C3*10%,C3*5%)</f>
        <v>15</v>
      </c>
      <c r="J3" s="6" t="str">
        <f>IF(C3&gt;=200,"Excellent", IF(C3&gt;=150, "Good", "Need Improvement"))</f>
        <v>Good</v>
      </c>
      <c r="K3" s="6" t="str">
        <f t="shared" ref="K3:K7" si="0">IF(C3&gt;200,"High", IF(AND(C3&gt;=100,C3&lt;=200),"Medium","Low"))</f>
        <v>Medium</v>
      </c>
      <c r="L3" s="6" t="str">
        <f>IF(AND(C3&gt;=150,E3="North"),"$500","$300")</f>
        <v>$300</v>
      </c>
      <c r="M3" s="6" t="str">
        <f t="shared" ref="M3:M7" si="1">IF(C3&gt;=PERCENTILE($C$2:$C$7,0.75),"Yes","No")</f>
        <v>No</v>
      </c>
    </row>
    <row r="4" spans="1:13" x14ac:dyDescent="0.2">
      <c r="A4" s="6">
        <v>103</v>
      </c>
      <c r="B4" s="6" t="s">
        <v>17</v>
      </c>
      <c r="C4" s="6">
        <v>200</v>
      </c>
      <c r="D4" s="6">
        <v>200</v>
      </c>
      <c r="E4" s="6" t="s">
        <v>18</v>
      </c>
      <c r="F4" s="6" t="str">
        <f t="shared" ref="F3:F7" si="2">IF(C4&gt;=D4,"Yes","No")</f>
        <v>Yes</v>
      </c>
      <c r="G4" s="6" t="str">
        <f>IF(AND(E4="North",C4&gt;200),"Eligible","Not Eligible")</f>
        <v>Not Eligible</v>
      </c>
      <c r="H4" s="6">
        <f>IF(C4&gt;=200,0.1,IF(C4&gt;=150,0.07,0.05))</f>
        <v>0.1</v>
      </c>
      <c r="I4" s="6">
        <f t="shared" ref="I4:I7" si="3">IF(C4&gt;=D4,C4*10%,C4*5%)</f>
        <v>20</v>
      </c>
      <c r="J4" s="6" t="str">
        <f t="shared" ref="J4:J7" si="4">IF(C4&gt;=200,"Excellent", IF(C4&gt;=150, "Good", "Need Improvement"))</f>
        <v>Excellent</v>
      </c>
      <c r="K4" s="6" t="str">
        <f t="shared" si="0"/>
        <v>Medium</v>
      </c>
      <c r="L4" s="6" t="str">
        <f t="shared" ref="L4:L7" si="5">IF(AND(C4&gt;=150,E4="North"),"$500","$300")</f>
        <v>$300</v>
      </c>
      <c r="M4" s="6" t="str">
        <f t="shared" si="1"/>
        <v>Yes</v>
      </c>
    </row>
    <row r="5" spans="1:13" x14ac:dyDescent="0.2">
      <c r="A5" s="6">
        <v>104</v>
      </c>
      <c r="B5" s="6" t="s">
        <v>19</v>
      </c>
      <c r="C5" s="6">
        <v>90</v>
      </c>
      <c r="D5" s="6">
        <v>100</v>
      </c>
      <c r="E5" s="6" t="s">
        <v>20</v>
      </c>
      <c r="F5" s="6" t="str">
        <f t="shared" si="2"/>
        <v>No</v>
      </c>
      <c r="G5" s="6" t="str">
        <f t="shared" ref="G5:G7" si="6">IF(AND(E5="North",C5&gt;200),"Eligible","Not Eligible")</f>
        <v>Not Eligible</v>
      </c>
      <c r="H5" s="6">
        <f t="shared" ref="H5:H7" si="7">IF(C5&gt;=200,0.1,IF(C5&gt;=150,0.07,0.05))</f>
        <v>0.05</v>
      </c>
      <c r="I5" s="6">
        <f t="shared" si="3"/>
        <v>4.5</v>
      </c>
      <c r="J5" s="6" t="str">
        <f t="shared" si="4"/>
        <v>Need Improvement</v>
      </c>
      <c r="K5" s="6" t="str">
        <f t="shared" si="0"/>
        <v>Low</v>
      </c>
      <c r="L5" s="6" t="str">
        <f t="shared" si="5"/>
        <v>$300</v>
      </c>
      <c r="M5" s="6" t="str">
        <f t="shared" si="1"/>
        <v>No</v>
      </c>
    </row>
    <row r="6" spans="1:13" x14ac:dyDescent="0.2">
      <c r="A6" s="6">
        <v>105</v>
      </c>
      <c r="B6" s="6" t="s">
        <v>21</v>
      </c>
      <c r="C6" s="6">
        <v>220</v>
      </c>
      <c r="D6" s="6">
        <v>210</v>
      </c>
      <c r="E6" s="6" t="s">
        <v>14</v>
      </c>
      <c r="F6" s="6" t="str">
        <f t="shared" si="2"/>
        <v>Yes</v>
      </c>
      <c r="G6" s="6" t="str">
        <f t="shared" si="6"/>
        <v>Eligible</v>
      </c>
      <c r="H6" s="6">
        <f t="shared" si="7"/>
        <v>0.1</v>
      </c>
      <c r="I6" s="6">
        <f t="shared" si="3"/>
        <v>22</v>
      </c>
      <c r="J6" s="6" t="str">
        <f t="shared" si="4"/>
        <v>Excellent</v>
      </c>
      <c r="K6" s="6" t="str">
        <f t="shared" si="0"/>
        <v>High</v>
      </c>
      <c r="L6" s="6" t="str">
        <f t="shared" si="5"/>
        <v>$500</v>
      </c>
      <c r="M6" s="6" t="str">
        <f t="shared" si="1"/>
        <v>Yes</v>
      </c>
    </row>
    <row r="7" spans="1:13" x14ac:dyDescent="0.2">
      <c r="A7" s="6">
        <v>106</v>
      </c>
      <c r="B7" s="6" t="s">
        <v>22</v>
      </c>
      <c r="C7" s="6">
        <v>130</v>
      </c>
      <c r="D7" s="6">
        <v>160</v>
      </c>
      <c r="E7" s="6" t="s">
        <v>16</v>
      </c>
      <c r="F7" s="6" t="str">
        <f t="shared" si="2"/>
        <v>No</v>
      </c>
      <c r="G7" s="6" t="str">
        <f t="shared" si="6"/>
        <v>Not Eligible</v>
      </c>
      <c r="H7" s="6">
        <f t="shared" si="7"/>
        <v>0.05</v>
      </c>
      <c r="I7" s="6">
        <f t="shared" si="3"/>
        <v>6.5</v>
      </c>
      <c r="J7" s="6" t="str">
        <f t="shared" si="4"/>
        <v>Need Improvement</v>
      </c>
      <c r="K7" s="6" t="str">
        <f t="shared" si="0"/>
        <v>Medium</v>
      </c>
      <c r="L7" s="6" t="str">
        <f t="shared" si="5"/>
        <v>$300</v>
      </c>
      <c r="M7" s="6" t="str">
        <f t="shared" si="1"/>
        <v>No</v>
      </c>
    </row>
    <row r="10" spans="1:13" x14ac:dyDescent="0.2">
      <c r="A10" t="s">
        <v>26</v>
      </c>
      <c r="F10" s="3"/>
    </row>
    <row r="11" spans="1:13" x14ac:dyDescent="0.2">
      <c r="A11" t="s">
        <v>23</v>
      </c>
    </row>
    <row r="12" spans="1:13" x14ac:dyDescent="0.2">
      <c r="A12" t="s">
        <v>24</v>
      </c>
    </row>
    <row r="13" spans="1:13" x14ac:dyDescent="0.2">
      <c r="A13" t="s">
        <v>25</v>
      </c>
    </row>
    <row r="14" spans="1:13" ht="17" customHeight="1" x14ac:dyDescent="0.2">
      <c r="A14" s="2" t="s">
        <v>30</v>
      </c>
      <c r="B14" s="2"/>
      <c r="C14" s="2"/>
      <c r="D14" s="2"/>
      <c r="E14" s="2"/>
      <c r="F14" s="2"/>
      <c r="G14" s="2"/>
      <c r="H14" s="2"/>
      <c r="I14" s="2"/>
      <c r="J14" s="2"/>
    </row>
    <row r="15" spans="1:13" ht="16.5" customHeight="1" x14ac:dyDescent="0.2">
      <c r="A15" s="1" t="s">
        <v>29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t="s">
        <v>27</v>
      </c>
    </row>
    <row r="17" spans="1:1" x14ac:dyDescent="0.2">
      <c r="A17" t="s">
        <v>28</v>
      </c>
    </row>
  </sheetData>
  <mergeCells count="2">
    <mergeCell ref="A15:M15"/>
    <mergeCell ref="A14:J14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2026-05-20T11:39:18Z</dcterms:created>
  <dcterms:modified xsi:type="dcterms:W3CDTF">2026-05-21T07:18:14Z</dcterms:modified>
</cp:coreProperties>
</file>